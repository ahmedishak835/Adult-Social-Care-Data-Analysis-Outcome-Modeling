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38e3bbc8c30dae/Desktop/thorbaf/"/>
    </mc:Choice>
  </mc:AlternateContent>
  <xr:revisionPtr revIDLastSave="0" documentId="8_{7E8B2404-F9F2-411A-BD2F-6782F7E5CB65}" xr6:coauthVersionLast="47" xr6:coauthVersionMax="47" xr10:uidLastSave="{00000000-0000-0000-0000-000000000000}"/>
  <bookViews>
    <workbookView xWindow="-108" yWindow="-108" windowWidth="23256" windowHeight="12456" activeTab="3" xr2:uid="{6F7FE20E-BB97-4CAF-B090-3B12272911B9}"/>
  </bookViews>
  <sheets>
    <sheet name="q3_carer_outcome" sheetId="4" r:id="rId1"/>
    <sheet name="Q2_Deprivation_Cost" sheetId="3" r:id="rId2"/>
    <sheet name="Q1_Ward_Weekly_Cost" sheetId="2" r:id="rId3"/>
    <sheet name="ASC Dashboard" sheetId="8" r:id="rId4"/>
  </sheets>
  <definedNames>
    <definedName name="ExternalData_1" localSheetId="2" hidden="1">Q1_Ward_Weekly_Cost!$A$1:$B$9</definedName>
    <definedName name="ExternalData_2" localSheetId="1" hidden="1">Q2_Deprivation_Cost!$A$1:$C$12</definedName>
    <definedName name="ExternalData_3" localSheetId="0" hidden="1">q3_carer_outcome!$A$1:$C$10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DF55D3-CADD-41FC-8549-6F31BC407A92}" keepAlive="1" name="Query - ASC_Raw" description="Connection to the 'ASC_Raw' query in the workbook." type="5" refreshedVersion="0" background="1">
    <dbPr connection="Provider=Microsoft.Mashup.OleDb.1;Data Source=$Workbook$;Location=ASC_Raw;Extended Properties=&quot;&quot;" command="SELECT * FROM [ASC_Raw]"/>
  </connection>
  <connection id="2" xr16:uid="{3D7AD3FE-19CE-4D5D-A57B-861019E4684A}" keepAlive="1" name="Query - Q1_Ward_Weekly_Cost" description="Connection to the 'Q1_Ward_Weekly_Cost' query in the workbook." type="5" refreshedVersion="8" background="1" saveData="1">
    <dbPr connection="Provider=Microsoft.Mashup.OleDb.1;Data Source=$Workbook$;Location=Q1_Ward_Weekly_Cost;Extended Properties=&quot;&quot;" command="SELECT * FROM [Q1_Ward_Weekly_Cost]"/>
  </connection>
  <connection id="3" xr16:uid="{455452AD-8C9A-4932-93C1-794D81AA4261}" keepAlive="1" name="Query - Q2_Deprivation_Cost" description="Connection to the 'Q2_Deprivation_Cost' query in the workbook." type="5" refreshedVersion="8" background="1" saveData="1">
    <dbPr connection="Provider=Microsoft.Mashup.OleDb.1;Data Source=$Workbook$;Location=Q2_Deprivation_Cost;Extended Properties=&quot;&quot;" command="SELECT * FROM [Q2_Deprivation_Cost]"/>
  </connection>
  <connection id="4" xr16:uid="{3AD0AD10-E52D-4515-84A0-855E96E7418B}" keepAlive="1" name="Query - q3_carer_outcome" description="Connection to the 'q3_carer_outcome' query in the workbook." type="5" refreshedVersion="8" background="1" saveData="1">
    <dbPr connection="Provider=Microsoft.Mashup.OleDb.1;Data Source=$Workbook$;Location=q3_carer_outcome;Extended Properties=&quot;&quot;" command="SELECT * FROM [q3_carer_outcome]"/>
  </connection>
</connections>
</file>

<file path=xl/sharedStrings.xml><?xml version="1.0" encoding="utf-8"?>
<sst xmlns="http://schemas.openxmlformats.org/spreadsheetml/2006/main" count="35" uniqueCount="21">
  <si>
    <t>ward</t>
  </si>
  <si>
    <t>total_week_cost</t>
  </si>
  <si>
    <t>Hazel Grove</t>
  </si>
  <si>
    <t>Edgeley</t>
  </si>
  <si>
    <t>Reddish South</t>
  </si>
  <si>
    <t>Davenport and Cale Green</t>
  </si>
  <si>
    <t>Brinnington &amp; Central</t>
  </si>
  <si>
    <t>Reddish north</t>
  </si>
  <si>
    <t>Stockport Central</t>
  </si>
  <si>
    <t>Offerton</t>
  </si>
  <si>
    <t>deprivation_decile</t>
  </si>
  <si>
    <t>avg_weekly_cost</t>
  </si>
  <si>
    <t>total_weekly_cost</t>
  </si>
  <si>
    <t>carer_flag</t>
  </si>
  <si>
    <t>outcome_improved_independence</t>
  </si>
  <si>
    <t>people_count</t>
  </si>
  <si>
    <t>Unknown</t>
  </si>
  <si>
    <t>Yes</t>
  </si>
  <si>
    <t>No</t>
  </si>
  <si>
    <t>Partially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</si>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</sst>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q3_carer_outcome!$C$1</c:f>
              <c:strCache>
                <c:ptCount val="1"/>
                <c:pt idx="0">
                  <c:v>people_count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q3_carer_outcome!$A$2:$B$10</c:f>
              <c:multiLvlStrCache>
                <c:ptCount val="9"/>
                <c:lvl>
                  <c:pt idx="0">
                    <c:v>Yes</c:v>
                  </c:pt>
                  <c:pt idx="1">
                    <c:v>No</c:v>
                  </c:pt>
                  <c:pt idx="2">
                    <c:v>Partially</c:v>
                  </c:pt>
                  <c:pt idx="3">
                    <c:v>Partially</c:v>
                  </c:pt>
                  <c:pt idx="4">
                    <c:v>Yes</c:v>
                  </c:pt>
                  <c:pt idx="5">
                    <c:v>No</c:v>
                  </c:pt>
                  <c:pt idx="6">
                    <c:v>Partially</c:v>
                  </c:pt>
                  <c:pt idx="7">
                    <c:v>No</c:v>
                  </c:pt>
                  <c:pt idx="8">
                    <c:v>Yes</c:v>
                  </c:pt>
                </c:lvl>
                <c:lvl>
                  <c:pt idx="0">
                    <c:v>Unknown</c:v>
                  </c:pt>
                  <c:pt idx="1">
                    <c:v>Unknown</c:v>
                  </c:pt>
                  <c:pt idx="2">
                    <c:v>Unknown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No</c:v>
                  </c:pt>
                  <c:pt idx="8">
                    <c:v>Yes</c:v>
                  </c:pt>
                </c:lvl>
              </c:multiLvlStrCache>
            </c:multiLvlStrRef>
          </c:cat>
          <c:val>
            <c:numRef>
              <c:f>q3_carer_outcome!$C$2:$C$10</c:f>
              <c:numCache>
                <c:formatCode>General</c:formatCode>
                <c:ptCount val="9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4</c:v>
                </c:pt>
                <c:pt idx="7">
                  <c:v>6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6-42C7-B0DB-A7AE9D25BF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88934528"/>
        <c:axId val="680096416"/>
      </c:barChart>
      <c:catAx>
        <c:axId val="688934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96416"/>
        <c:crosses val="autoZero"/>
        <c:auto val="1"/>
        <c:lblAlgn val="ctr"/>
        <c:lblOffset val="100"/>
        <c:noMultiLvlLbl val="0"/>
      </c:catAx>
      <c:valAx>
        <c:axId val="6800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3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 Correlation: Average Care Cost vs. Deprivation Decile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Q2_Deprivation_Cost!$B$1</c:f>
              <c:strCache>
                <c:ptCount val="1"/>
                <c:pt idx="0">
                  <c:v>avg_weekly_cost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Q2_Deprivation_Cost!$B$2:$B$12</c:f>
              <c:numCache>
                <c:formatCode>General</c:formatCode>
                <c:ptCount val="11"/>
                <c:pt idx="0">
                  <c:v>595.3796000000001</c:v>
                </c:pt>
                <c:pt idx="1">
                  <c:v>207.95749999999998</c:v>
                </c:pt>
                <c:pt idx="2">
                  <c:v>317.04000000000002</c:v>
                </c:pt>
                <c:pt idx="3">
                  <c:v>366.40750000000003</c:v>
                </c:pt>
                <c:pt idx="4">
                  <c:v>321.88200000000001</c:v>
                </c:pt>
                <c:pt idx="5">
                  <c:v>364.63</c:v>
                </c:pt>
                <c:pt idx="6">
                  <c:v>819.42</c:v>
                </c:pt>
                <c:pt idx="7">
                  <c:v>403.46444444444444</c:v>
                </c:pt>
                <c:pt idx="8">
                  <c:v>449.5575</c:v>
                </c:pt>
                <c:pt idx="9">
                  <c:v>592.32909090909095</c:v>
                </c:pt>
                <c:pt idx="10">
                  <c:v>302.67600000000004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F1-4B59-81E3-46FB7D9BFA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70476880"/>
        <c:axId val="670477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Q2_Deprivation_Cost!$A$1</c15:sqref>
                        </c15:formulaRef>
                      </c:ext>
                    </c:extLst>
                    <c:strCache>
                      <c:ptCount val="1"/>
                      <c:pt idx="0">
                        <c:v>deprivation_decile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Q2_Deprivation_Cost!$A$2:$A$12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7F1-4B59-81E3-46FB7D9BFAB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Q2_Deprivation_Cost!$C$1</c15:sqref>
                        </c15:formulaRef>
                      </c:ext>
                    </c:extLst>
                    <c:strCache>
                      <c:ptCount val="1"/>
                      <c:pt idx="0">
                        <c:v>total_weekly_cost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Q2_Deprivation_Cost!$C$2:$C$12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14884.490000000002</c:v>
                      </c:pt>
                      <c:pt idx="1">
                        <c:v>831.82999999999993</c:v>
                      </c:pt>
                      <c:pt idx="2">
                        <c:v>2853.36</c:v>
                      </c:pt>
                      <c:pt idx="3">
                        <c:v>2931.2599999999998</c:v>
                      </c:pt>
                      <c:pt idx="4">
                        <c:v>1609.4099999999999</c:v>
                      </c:pt>
                      <c:pt idx="5">
                        <c:v>3281.6699999999996</c:v>
                      </c:pt>
                      <c:pt idx="6">
                        <c:v>819.42</c:v>
                      </c:pt>
                      <c:pt idx="7">
                        <c:v>3631.1799999999994</c:v>
                      </c:pt>
                      <c:pt idx="8">
                        <c:v>3596.4599999999996</c:v>
                      </c:pt>
                      <c:pt idx="9">
                        <c:v>6515.6200000000008</c:v>
                      </c:pt>
                      <c:pt idx="10">
                        <c:v>6053.52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7F1-4B59-81E3-46FB7D9BFABD}"/>
                  </c:ext>
                </c:extLst>
              </c15:ser>
            </c15:filteredLineSeries>
          </c:ext>
        </c:extLst>
      </c:lineChart>
      <c:catAx>
        <c:axId val="670476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77360"/>
        <c:crosses val="autoZero"/>
        <c:auto val="1"/>
        <c:lblAlgn val="ctr"/>
        <c:lblOffset val="100"/>
        <c:noMultiLvlLbl val="0"/>
      </c:catAx>
      <c:valAx>
        <c:axId val="6704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47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u="none" strike="noStrike" cap="all" baseline="0"/>
              <a:t>Analysis of Weekly Care Expenditure by Ward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Q1_Ward_Weekly_Cost!$B$1</c:f>
              <c:strCache>
                <c:ptCount val="1"/>
                <c:pt idx="0">
                  <c:v>total_week_cost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55B45A3-325A-4633-BEDD-22942D3E0866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GB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AB6-4399-AC6D-F58D367B96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76A702-46E8-4187-9823-883D143E47D0}" type="VALUE">
                      <a:rPr lang="en-US">
                        <a:solidFill>
                          <a:srgbClr val="FFC000"/>
                        </a:solidFill>
                      </a:rPr>
                      <a:pPr/>
                      <a:t>[VALUE]</a:t>
                    </a:fld>
                    <a:endParaRPr lang="en-GB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AB6-4399-AC6D-F58D367B96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Q1_Ward_Weekly_Cost!$A$2:$A$9</c:f>
              <c:strCache>
                <c:ptCount val="8"/>
                <c:pt idx="0">
                  <c:v>Hazel Grove</c:v>
                </c:pt>
                <c:pt idx="1">
                  <c:v>Edgeley</c:v>
                </c:pt>
                <c:pt idx="2">
                  <c:v>Reddish South</c:v>
                </c:pt>
                <c:pt idx="3">
                  <c:v>Davenport and Cale Green</c:v>
                </c:pt>
                <c:pt idx="4">
                  <c:v>Brinnington &amp; Central</c:v>
                </c:pt>
                <c:pt idx="5">
                  <c:v>Reddish north</c:v>
                </c:pt>
                <c:pt idx="6">
                  <c:v>Stockport Central</c:v>
                </c:pt>
                <c:pt idx="7">
                  <c:v>Offerton</c:v>
                </c:pt>
              </c:strCache>
            </c:strRef>
          </c:cat>
          <c:val>
            <c:numRef>
              <c:f>Q1_Ward_Weekly_Cost!$B$2:$B$9</c:f>
              <c:numCache>
                <c:formatCode>General</c:formatCode>
                <c:ptCount val="8"/>
                <c:pt idx="0">
                  <c:v>9045.1800000000021</c:v>
                </c:pt>
                <c:pt idx="1">
                  <c:v>8183.4699999999993</c:v>
                </c:pt>
                <c:pt idx="2">
                  <c:v>7094.0000000000009</c:v>
                </c:pt>
                <c:pt idx="3">
                  <c:v>5001.0699999999988</c:v>
                </c:pt>
                <c:pt idx="4">
                  <c:v>4770.7199999999993</c:v>
                </c:pt>
                <c:pt idx="5">
                  <c:v>4397.17</c:v>
                </c:pt>
                <c:pt idx="6">
                  <c:v>4267.0600000000004</c:v>
                </c:pt>
                <c:pt idx="7">
                  <c:v>4249.55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6-4399-AC6D-F58D367B96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319785664"/>
        <c:axId val="1319780384"/>
      </c:barChart>
      <c:catAx>
        <c:axId val="131978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780384"/>
        <c:crosses val="autoZero"/>
        <c:auto val="1"/>
        <c:lblAlgn val="ctr"/>
        <c:lblOffset val="100"/>
        <c:noMultiLvlLbl val="0"/>
      </c:catAx>
      <c:valAx>
        <c:axId val="1319780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78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6</xdr:row>
      <xdr:rowOff>41910</xdr:rowOff>
    </xdr:from>
    <xdr:to>
      <xdr:col>11</xdr:col>
      <xdr:colOff>495300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861589-0F19-D979-5DA8-6B380CDC5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0.10167</cdr:x>
      <cdr:y>0.05139</cdr:y>
    </cdr:from>
    <cdr:to>
      <cdr:x>0.89</cdr:x>
      <cdr:y>0.15139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941E94B-A938-6758-2B08-07693744105C}"/>
            </a:ext>
          </a:extLst>
        </cdr:cNvPr>
        <cdr:cNvSpPr txBox="1"/>
      </cdr:nvSpPr>
      <cdr:spPr>
        <a:xfrm xmlns:a="http://schemas.openxmlformats.org/drawingml/2006/main">
          <a:off x="464820" y="140970"/>
          <a:ext cx="360426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/>
            <a:t>Independence Outcomes by Carer Availability</a:t>
          </a:r>
          <a:endParaRPr lang="en-GB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6</xdr:row>
      <xdr:rowOff>41910</xdr:rowOff>
    </xdr:from>
    <xdr:to>
      <xdr:col>12</xdr:col>
      <xdr:colOff>182880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E9E776-65DE-29EA-4EE1-BF8A4C4ED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6</xdr:row>
      <xdr:rowOff>41910</xdr:rowOff>
    </xdr:from>
    <xdr:to>
      <xdr:col>13</xdr:col>
      <xdr:colOff>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DEAB6B-AD9A-C072-C73D-BEF5542E6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573555</xdr:colOff>
      <xdr:row>22</xdr:row>
      <xdr:rowOff>30269</xdr:rowOff>
    </xdr:from>
    <xdr:to>
      <xdr:col>9</xdr:col>
      <xdr:colOff>448451</xdr:colOff>
      <xdr:row>25</xdr:row>
      <xdr:rowOff>92735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4A748B4-F8FE-DD19-F3B2-CB68D6F1AC76}"/>
            </a:ext>
          </a:extLst>
        </xdr:cNvPr>
        <xdr:cNvSpPr txBox="1"/>
      </xdr:nvSpPr>
      <xdr:spPr>
        <a:xfrm>
          <a:off x="1183155" y="4156792"/>
          <a:ext cx="4751696" cy="6251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/>
            <a:t>Geographic Spend (Chart 1):</a:t>
          </a:r>
          <a:r>
            <a:rPr lang="en-GB"/>
            <a:t> </a:t>
          </a:r>
          <a:r>
            <a:rPr lang="en-GB" b="1"/>
            <a:t>Hazel Grove</a:t>
          </a:r>
          <a:r>
            <a:rPr lang="en-GB"/>
            <a:t> and </a:t>
          </a:r>
          <a:r>
            <a:rPr lang="en-GB" b="1"/>
            <a:t>Edgeley</a:t>
          </a:r>
          <a:r>
            <a:rPr lang="en-GB"/>
            <a:t> are the highest-cost wards, accounting for the largest portion of the weekly budget. This suggests these areas may require higher service density or have more complex case profiles.</a:t>
          </a:r>
          <a:endParaRPr lang="en-GB" sz="1100"/>
        </a:p>
      </xdr:txBody>
    </xdr:sp>
    <xdr:clientData/>
  </xdr:twoCellAnchor>
  <xdr:twoCellAnchor>
    <xdr:from>
      <xdr:col>20</xdr:col>
      <xdr:colOff>518439</xdr:colOff>
      <xdr:row>21</xdr:row>
      <xdr:rowOff>148899</xdr:rowOff>
    </xdr:from>
    <xdr:to>
      <xdr:col>28</xdr:col>
      <xdr:colOff>256857</xdr:colOff>
      <xdr:row>25</xdr:row>
      <xdr:rowOff>160273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F9CBF59-5266-1685-0363-3B6E055E6274}"/>
            </a:ext>
          </a:extLst>
        </xdr:cNvPr>
        <xdr:cNvSpPr txBox="1"/>
      </xdr:nvSpPr>
      <xdr:spPr>
        <a:xfrm>
          <a:off x="12710439" y="4087853"/>
          <a:ext cx="4615218" cy="761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/>
            <a:t>Deprivation Impact (Chart 2):</a:t>
          </a:r>
          <a:r>
            <a:rPr lang="en-GB"/>
            <a:t> The data shows a clear trend where average care costs fluctuate by decile, with </a:t>
          </a:r>
          <a:r>
            <a:rPr lang="en-GB" b="1"/>
            <a:t>Decile 9</a:t>
          </a:r>
          <a:r>
            <a:rPr lang="en-GB"/>
            <a:t> showing a significant peak. This indicates that socio-economic factors are a primary driver of care expenditure.</a:t>
          </a:r>
          <a:endParaRPr lang="en-GB" sz="1100"/>
        </a:p>
      </xdr:txBody>
    </xdr:sp>
    <xdr:clientData/>
  </xdr:twoCellAnchor>
  <xdr:twoCellAnchor>
    <xdr:from>
      <xdr:col>11</xdr:col>
      <xdr:colOff>489920</xdr:colOff>
      <xdr:row>38</xdr:row>
      <xdr:rowOff>139277</xdr:rowOff>
    </xdr:from>
    <xdr:to>
      <xdr:col>19</xdr:col>
      <xdr:colOff>100987</xdr:colOff>
      <xdr:row>43</xdr:row>
      <xdr:rowOff>93785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7E2C5AA-6DA4-2267-41BF-094CB6A4B111}"/>
            </a:ext>
          </a:extLst>
        </xdr:cNvPr>
        <xdr:cNvSpPr txBox="1"/>
      </xdr:nvSpPr>
      <xdr:spPr>
        <a:xfrm>
          <a:off x="7155125" y="7199253"/>
          <a:ext cx="4458489" cy="87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b="1"/>
            <a:t>Support Effectiveness (Chart 3):</a:t>
          </a:r>
          <a:r>
            <a:rPr lang="en-GB"/>
            <a:t> Service users with a </a:t>
          </a:r>
          <a:r>
            <a:rPr lang="en-GB" b="1"/>
            <a:t>Carer (Yes)</a:t>
          </a:r>
          <a:r>
            <a:rPr lang="en-GB"/>
            <a:t> show a strong rate of improved independence. However, the high number of </a:t>
          </a:r>
          <a:r>
            <a:rPr lang="en-GB" b="1"/>
            <a:t>"Unknown"</a:t>
          </a:r>
          <a:r>
            <a:rPr lang="en-GB"/>
            <a:t> carer statuses suggests a data collection gap that, if fixed, could help the council better target support resources.</a:t>
          </a:r>
          <a:endParaRPr lang="en-GB" sz="1100"/>
        </a:p>
      </xdr:txBody>
    </xdr:sp>
    <xdr:clientData/>
  </xdr:twoCellAnchor>
  <xdr:twoCellAnchor editAs="oneCell">
    <xdr:from>
      <xdr:col>20</xdr:col>
      <xdr:colOff>574431</xdr:colOff>
      <xdr:row>6</xdr:row>
      <xdr:rowOff>105508</xdr:rowOff>
    </xdr:from>
    <xdr:to>
      <xdr:col>28</xdr:col>
      <xdr:colOff>276124</xdr:colOff>
      <xdr:row>21</xdr:row>
      <xdr:rowOff>47601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3D95CB2-9354-AA47-B881-40D9B7131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6431" y="1230923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480646</xdr:colOff>
      <xdr:row>23</xdr:row>
      <xdr:rowOff>117229</xdr:rowOff>
    </xdr:from>
    <xdr:to>
      <xdr:col>19</xdr:col>
      <xdr:colOff>182339</xdr:colOff>
      <xdr:row>38</xdr:row>
      <xdr:rowOff>59322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610F49D-A53A-B910-0A57-50270FA48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6246" y="4513383"/>
          <a:ext cx="4578493" cy="2755631"/>
        </a:xfrm>
        <a:prstGeom prst="rect">
          <a:avLst/>
        </a:prstGeom>
      </xdr:spPr>
    </xdr:pic>
    <xdr:clientData/>
  </xdr:twoCellAnchor>
  <xdr:twoCellAnchor>
    <xdr:from>
      <xdr:col>10</xdr:col>
      <xdr:colOff>539260</xdr:colOff>
      <xdr:row>1</xdr:row>
      <xdr:rowOff>128953</xdr:rowOff>
    </xdr:from>
    <xdr:to>
      <xdr:col>19</xdr:col>
      <xdr:colOff>492369</xdr:colOff>
      <xdr:row>5</xdr:row>
      <xdr:rowOff>82062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A336993-B671-B4BA-08E8-98AF6C424CE9}"/>
            </a:ext>
          </a:extLst>
        </xdr:cNvPr>
        <xdr:cNvSpPr txBox="1"/>
      </xdr:nvSpPr>
      <xdr:spPr>
        <a:xfrm>
          <a:off x="6635260" y="316522"/>
          <a:ext cx="5439509" cy="785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GB" sz="1800" b="0" i="0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Adult Social Care: Financial &amp; Performance Overview 2026</a:t>
          </a:r>
        </a:p>
      </xdr:txBody>
    </xdr:sp>
    <xdr:clientData/>
  </xdr:twoCellAnchor>
  <xdr:twoCellAnchor editAs="oneCell">
    <xdr:from>
      <xdr:col>2</xdr:col>
      <xdr:colOff>93785</xdr:colOff>
      <xdr:row>6</xdr:row>
      <xdr:rowOff>175846</xdr:rowOff>
    </xdr:from>
    <xdr:to>
      <xdr:col>9</xdr:col>
      <xdr:colOff>405078</xdr:colOff>
      <xdr:row>21</xdr:row>
      <xdr:rowOff>117939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FC1779D-6639-8B4E-F272-1DD9D681C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2985" y="1383323"/>
          <a:ext cx="4578493" cy="2755631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8305DA7-19F7-478E-BC5D-E9DC53C1FCBC}" autoFormatId="16" applyNumberFormats="0" applyBorderFormats="0" applyFontFormats="0" applyPatternFormats="0" applyAlignmentFormats="0" applyWidthHeightFormats="0">
  <queryTableRefresh nextId="4">
    <queryTableFields count="3">
      <queryTableField id="1" name="carer_flag" tableColumnId="1"/>
      <queryTableField id="2" name="outcome_improved_independence" tableColumnId="2"/>
      <queryTableField id="3" name="people_c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BB6BE01-C097-4D09-B927-905E614EBB5F}" autoFormatId="16" applyNumberFormats="0" applyBorderFormats="0" applyFontFormats="0" applyPatternFormats="0" applyAlignmentFormats="0" applyWidthHeightFormats="0">
  <queryTableRefresh nextId="4">
    <queryTableFields count="3">
      <queryTableField id="1" name="deprivation_decile" tableColumnId="1"/>
      <queryTableField id="2" name="avg_weekly_cost" tableColumnId="2"/>
      <queryTableField id="3" name="total_weekly_cos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961AF0-3041-4C44-A86C-3748D7C5EA43}" autoFormatId="16" applyNumberFormats="0" applyBorderFormats="0" applyFontFormats="0" applyPatternFormats="0" applyAlignmentFormats="0" applyWidthHeightFormats="0">
  <queryTableRefresh nextId="3">
    <queryTableFields count="2">
      <queryTableField id="1" name="ward" tableColumnId="1"/>
      <queryTableField id="2" name="total_week_cos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53719D-2B25-43A6-A3D5-46B8463491B3}" name="q3_carer_outcome" displayName="q3_carer_outcome" ref="A1:C10" tableType="queryTable" totalsRowShown="0">
  <autoFilter ref="A1:C10" xr:uid="{ED53719D-2B25-43A6-A3D5-46B8463491B3}"/>
  <tableColumns count="3">
    <tableColumn id="1" xr3:uid="{0D4833F4-C9EB-4CFF-BD9E-B421E477A221}" uniqueName="1" name="carer_flag" queryTableFieldId="1" dataDxfId="2"/>
    <tableColumn id="2" xr3:uid="{353C9D69-9C95-47C6-AF09-B8F96AD0A5BC}" uniqueName="2" name="outcome_improved_independence" queryTableFieldId="2" dataDxfId="1"/>
    <tableColumn id="3" xr3:uid="{0306A726-AAE4-412E-A865-C4FEB1C33239}" uniqueName="3" name="people_count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64CCC0-FA96-4295-86E5-7182B817A085}" name="Q2_Deprivation_Cost" displayName="Q2_Deprivation_Cost" ref="A1:C12" tableType="queryTable" totalsRowShown="0">
  <autoFilter ref="A1:C12" xr:uid="{3164CCC0-FA96-4295-86E5-7182B817A085}"/>
  <tableColumns count="3">
    <tableColumn id="1" xr3:uid="{C2656EE3-2CDE-42F7-9DDA-CA51A676E3E6}" uniqueName="1" name="deprivation_decile" queryTableFieldId="1"/>
    <tableColumn id="2" xr3:uid="{D5FBFB05-CD63-4579-9AE1-84455DD7397F}" uniqueName="2" name="avg_weekly_cost" queryTableFieldId="2"/>
    <tableColumn id="3" xr3:uid="{92D1130E-034A-40AC-BE95-9C4C2B874BE5}" uniqueName="3" name="total_weekly_cost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EED32-2CD9-4F71-874D-8835DE6C0FF9}" name="Q1_Ward_Weekly_Cost" displayName="Q1_Ward_Weekly_Cost" ref="A1:B9" tableType="queryTable" totalsRowShown="0">
  <autoFilter ref="A1:B9" xr:uid="{070EED32-2CD9-4F71-874D-8835DE6C0FF9}"/>
  <tableColumns count="2">
    <tableColumn id="1" xr3:uid="{807229B0-E0B0-4FB6-8B36-EE1001B87C04}" uniqueName="1" name="ward" queryTableFieldId="1" dataDxfId="0"/>
    <tableColumn id="2" xr3:uid="{75CA084F-F0BD-407B-BF2B-DFB4ED447AD7}" uniqueName="2" name="total_week_cost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6BDD-3BDE-4349-98B1-0BF7F78386DC}">
  <dimension ref="A1:C10"/>
  <sheetViews>
    <sheetView workbookViewId="0">
      <selection activeCell="O13" sqref="O13"/>
    </sheetView>
  </sheetViews>
  <sheetFormatPr defaultRowHeight="14.4" x14ac:dyDescent="0.3"/>
  <cols>
    <col min="1" max="1" width="11.33203125" bestFit="1" customWidth="1"/>
    <col min="2" max="2" width="32.5546875" bestFit="1" customWidth="1"/>
    <col min="3" max="3" width="14.4414062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 t="s">
        <v>16</v>
      </c>
      <c r="B2" t="s">
        <v>17</v>
      </c>
      <c r="C2">
        <v>7</v>
      </c>
    </row>
    <row r="3" spans="1:3" x14ac:dyDescent="0.3">
      <c r="A3" t="s">
        <v>16</v>
      </c>
      <c r="B3" t="s">
        <v>18</v>
      </c>
      <c r="C3">
        <v>10</v>
      </c>
    </row>
    <row r="4" spans="1:3" x14ac:dyDescent="0.3">
      <c r="A4" t="s">
        <v>16</v>
      </c>
      <c r="B4" t="s">
        <v>19</v>
      </c>
      <c r="C4">
        <v>11</v>
      </c>
    </row>
    <row r="5" spans="1:3" x14ac:dyDescent="0.3">
      <c r="A5" t="s">
        <v>18</v>
      </c>
      <c r="B5" t="s">
        <v>19</v>
      </c>
      <c r="C5">
        <v>5</v>
      </c>
    </row>
    <row r="6" spans="1:3" x14ac:dyDescent="0.3">
      <c r="A6" t="s">
        <v>18</v>
      </c>
      <c r="B6" t="s">
        <v>17</v>
      </c>
      <c r="C6">
        <v>7</v>
      </c>
    </row>
    <row r="7" spans="1:3" x14ac:dyDescent="0.3">
      <c r="A7" t="s">
        <v>17</v>
      </c>
      <c r="B7" t="s">
        <v>18</v>
      </c>
      <c r="C7">
        <v>9</v>
      </c>
    </row>
    <row r="8" spans="1:3" x14ac:dyDescent="0.3">
      <c r="A8" t="s">
        <v>17</v>
      </c>
      <c r="B8" t="s">
        <v>19</v>
      </c>
      <c r="C8">
        <v>4</v>
      </c>
    </row>
    <row r="9" spans="1:3" x14ac:dyDescent="0.3">
      <c r="A9" t="s">
        <v>18</v>
      </c>
      <c r="B9" t="s">
        <v>18</v>
      </c>
      <c r="C9">
        <v>6</v>
      </c>
    </row>
    <row r="10" spans="1:3" x14ac:dyDescent="0.3">
      <c r="A10" t="s">
        <v>17</v>
      </c>
      <c r="B10" t="s">
        <v>17</v>
      </c>
      <c r="C10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BA19-0F35-4121-811B-1AEFF5B2F34D}">
  <dimension ref="A1:C12"/>
  <sheetViews>
    <sheetView workbookViewId="0">
      <selection activeCell="N10" sqref="N10"/>
    </sheetView>
  </sheetViews>
  <sheetFormatPr defaultRowHeight="14.4" x14ac:dyDescent="0.3"/>
  <cols>
    <col min="1" max="1" width="18.88671875" bestFit="1" customWidth="1"/>
    <col min="2" max="2" width="17" bestFit="1" customWidth="1"/>
    <col min="3" max="3" width="18.109375" bestFit="1" customWidth="1"/>
  </cols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>
        <v>1</v>
      </c>
      <c r="B2">
        <v>595.3796000000001</v>
      </c>
      <c r="C2">
        <v>14884.490000000002</v>
      </c>
    </row>
    <row r="3" spans="1:3" x14ac:dyDescent="0.3">
      <c r="A3">
        <v>2</v>
      </c>
      <c r="B3">
        <v>207.95749999999998</v>
      </c>
      <c r="C3">
        <v>831.82999999999993</v>
      </c>
    </row>
    <row r="4" spans="1:3" x14ac:dyDescent="0.3">
      <c r="A4">
        <v>3</v>
      </c>
      <c r="B4">
        <v>317.04000000000002</v>
      </c>
      <c r="C4">
        <v>2853.36</v>
      </c>
    </row>
    <row r="5" spans="1:3" x14ac:dyDescent="0.3">
      <c r="B5">
        <v>366.40750000000003</v>
      </c>
      <c r="C5">
        <v>2931.2599999999998</v>
      </c>
    </row>
    <row r="6" spans="1:3" x14ac:dyDescent="0.3">
      <c r="A6">
        <v>5</v>
      </c>
      <c r="B6">
        <v>321.88200000000001</v>
      </c>
      <c r="C6">
        <v>1609.4099999999999</v>
      </c>
    </row>
    <row r="7" spans="1:3" x14ac:dyDescent="0.3">
      <c r="A7">
        <v>6</v>
      </c>
      <c r="B7">
        <v>364.63</v>
      </c>
      <c r="C7">
        <v>3281.6699999999996</v>
      </c>
    </row>
    <row r="8" spans="1:3" x14ac:dyDescent="0.3">
      <c r="A8">
        <v>7</v>
      </c>
      <c r="B8">
        <v>819.42</v>
      </c>
      <c r="C8">
        <v>819.42</v>
      </c>
    </row>
    <row r="9" spans="1:3" x14ac:dyDescent="0.3">
      <c r="A9">
        <v>8</v>
      </c>
      <c r="B9">
        <v>403.46444444444444</v>
      </c>
      <c r="C9">
        <v>3631.1799999999994</v>
      </c>
    </row>
    <row r="10" spans="1:3" x14ac:dyDescent="0.3">
      <c r="A10">
        <v>9</v>
      </c>
      <c r="B10">
        <v>449.5575</v>
      </c>
      <c r="C10">
        <v>3596.4599999999996</v>
      </c>
    </row>
    <row r="11" spans="1:3" x14ac:dyDescent="0.3">
      <c r="A11">
        <v>10</v>
      </c>
      <c r="B11">
        <v>592.32909090909095</v>
      </c>
      <c r="C11">
        <v>6515.6200000000008</v>
      </c>
    </row>
    <row r="12" spans="1:3" x14ac:dyDescent="0.3">
      <c r="A12">
        <v>11</v>
      </c>
      <c r="B12">
        <v>302.67600000000004</v>
      </c>
      <c r="C12">
        <v>6053.52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3BBC-1669-40FA-9B17-BB863BDFBB0C}">
  <dimension ref="A1:J9"/>
  <sheetViews>
    <sheetView workbookViewId="0">
      <selection activeCell="E14" sqref="E14"/>
    </sheetView>
  </sheetViews>
  <sheetFormatPr defaultRowHeight="14.4" x14ac:dyDescent="0.3"/>
  <cols>
    <col min="1" max="1" width="22.21875" bestFit="1" customWidth="1"/>
    <col min="2" max="2" width="16.664062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>
        <v>9045.1800000000021</v>
      </c>
    </row>
    <row r="3" spans="1:10" x14ac:dyDescent="0.3">
      <c r="A3" t="s">
        <v>3</v>
      </c>
      <c r="B3">
        <v>8183.4699999999993</v>
      </c>
    </row>
    <row r="4" spans="1:10" x14ac:dyDescent="0.3">
      <c r="A4" t="s">
        <v>4</v>
      </c>
      <c r="B4">
        <v>7094.0000000000009</v>
      </c>
    </row>
    <row r="5" spans="1:10" x14ac:dyDescent="0.3">
      <c r="A5" t="s">
        <v>5</v>
      </c>
      <c r="B5">
        <v>5001.0699999999988</v>
      </c>
    </row>
    <row r="6" spans="1:10" x14ac:dyDescent="0.3">
      <c r="A6" t="s">
        <v>6</v>
      </c>
      <c r="B6">
        <v>4770.7199999999993</v>
      </c>
      <c r="J6" t="s">
        <v>20</v>
      </c>
    </row>
    <row r="7" spans="1:10" x14ac:dyDescent="0.3">
      <c r="A7" t="s">
        <v>7</v>
      </c>
      <c r="B7">
        <v>4397.17</v>
      </c>
    </row>
    <row r="8" spans="1:10" x14ac:dyDescent="0.3">
      <c r="A8" t="s">
        <v>8</v>
      </c>
      <c r="B8">
        <v>4267.0600000000004</v>
      </c>
    </row>
    <row r="9" spans="1:10" x14ac:dyDescent="0.3">
      <c r="A9" t="s">
        <v>9</v>
      </c>
      <c r="B9">
        <v>4249.55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4C54-8A7A-4B70-AA5A-B140B30D1775}">
  <dimension ref="W5"/>
  <sheetViews>
    <sheetView showGridLines="0" tabSelected="1" zoomScale="83" workbookViewId="0">
      <selection activeCell="N17" sqref="N17"/>
    </sheetView>
  </sheetViews>
  <sheetFormatPr defaultRowHeight="14.4" x14ac:dyDescent="0.3"/>
  <sheetData>
    <row r="5" spans="23:23" ht="21" x14ac:dyDescent="0.4">
      <c r="W5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A4CABC-FE99-4998-9A0A-6A8E1876FF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q3_carer_outcome</vt:lpstr>
      <vt:lpstr>Q2_Deprivation_Cost</vt:lpstr>
      <vt:lpstr>Q1_Ward_Weekly_Cost</vt:lpstr>
      <vt:lpstr>ASC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Rashida Ahmed</dc:creator>
  <cp:lastModifiedBy>Rashida Ahmed</cp:lastModifiedBy>
  <dcterms:created xsi:type="dcterms:W3CDTF">2026-02-06T14:39:06Z</dcterms:created>
  <dcterms:modified xsi:type="dcterms:W3CDTF">2026-02-25T16:33:48Z</dcterms:modified>
</cp:coreProperties>
</file>